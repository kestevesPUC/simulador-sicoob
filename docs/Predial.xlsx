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.filipe\Desktop\"/>
    </mc:Choice>
  </mc:AlternateContent>
  <xr:revisionPtr revIDLastSave="0" documentId="13_ncr:1_{1086AC12-3733-4743-B9E0-6DD4E656B1D8}" xr6:coauthVersionLast="47" xr6:coauthVersionMax="47" xr10:uidLastSave="{00000000-0000-0000-0000-000000000000}"/>
  <bookViews>
    <workbookView xWindow="-108" yWindow="-108" windowWidth="23256" windowHeight="12456" activeTab="1" xr2:uid="{478B1687-707B-45A1-A744-62CC425C0350}"/>
  </bookViews>
  <sheets>
    <sheet name="Simulação" sheetId="1" r:id="rId1"/>
    <sheet name="Resultado" sheetId="4" r:id="rId2"/>
    <sheet name="Resultados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" i="3" l="1"/>
  <c r="M4" i="3"/>
  <c r="H9" i="4" s="1"/>
  <c r="K9" i="4" s="1"/>
  <c r="N9" i="4" s="1"/>
  <c r="L2" i="3"/>
  <c r="G21" i="4"/>
  <c r="J21" i="4" s="1"/>
  <c r="M21" i="4" s="1"/>
  <c r="H21" i="4"/>
  <c r="K21" i="4" s="1"/>
  <c r="N21" i="4" s="1"/>
  <c r="H8" i="4"/>
  <c r="G8" i="4"/>
  <c r="J8" i="4" s="1"/>
  <c r="J18" i="4"/>
  <c r="M18" i="4" s="1"/>
  <c r="H18" i="4"/>
  <c r="K18" i="4" s="1"/>
  <c r="N18" i="4" s="1"/>
  <c r="J15" i="4"/>
  <c r="M15" i="4" s="1"/>
  <c r="J12" i="4"/>
  <c r="M12" i="4" s="1"/>
  <c r="B4" i="3"/>
  <c r="F8" i="1"/>
  <c r="F7" i="1"/>
  <c r="L3" i="3" s="1"/>
  <c r="C8" i="1"/>
  <c r="C7" i="1"/>
  <c r="M3" i="3" l="1"/>
  <c r="H15" i="4" s="1"/>
  <c r="K15" i="4" s="1"/>
  <c r="N15" i="4" s="1"/>
  <c r="J24" i="4"/>
  <c r="M8" i="4"/>
  <c r="M24" i="4" s="1"/>
  <c r="K8" i="4"/>
  <c r="G24" i="4"/>
  <c r="M2" i="3"/>
  <c r="H12" i="4" l="1"/>
  <c r="K12" i="4" s="1"/>
  <c r="N12" i="4" s="1"/>
  <c r="N8" i="4"/>
  <c r="H24" i="4" l="1"/>
  <c r="G25" i="4" s="1"/>
  <c r="N24" i="4"/>
  <c r="M25" i="4" s="1"/>
  <c r="K24" i="4"/>
  <c r="J25" i="4" s="1"/>
</calcChain>
</file>

<file path=xl/sharedStrings.xml><?xml version="1.0" encoding="utf-8"?>
<sst xmlns="http://schemas.openxmlformats.org/spreadsheetml/2006/main" count="55" uniqueCount="33">
  <si>
    <t>Individual</t>
  </si>
  <si>
    <t>Pool</t>
  </si>
  <si>
    <t>Mensal</t>
  </si>
  <si>
    <t>Trimestral</t>
  </si>
  <si>
    <t>Anual</t>
  </si>
  <si>
    <t>Boletagem</t>
  </si>
  <si>
    <t>Preço atribuído</t>
  </si>
  <si>
    <t>Faturamento</t>
  </si>
  <si>
    <t>Investimento</t>
  </si>
  <si>
    <t>do faturamento</t>
  </si>
  <si>
    <t>x o faturamento</t>
  </si>
  <si>
    <t>Custo boletagem</t>
  </si>
  <si>
    <t>Boletos</t>
  </si>
  <si>
    <t>Pagamentos</t>
  </si>
  <si>
    <t>Tarifa</t>
  </si>
  <si>
    <t>Preço</t>
  </si>
  <si>
    <t>Condomínios</t>
  </si>
  <si>
    <t>Unidades</t>
  </si>
  <si>
    <t>Depósito à vista</t>
  </si>
  <si>
    <t>Distribuição</t>
  </si>
  <si>
    <t>Resultado</t>
  </si>
  <si>
    <t>Rateio</t>
  </si>
  <si>
    <t>%</t>
  </si>
  <si>
    <t>Investimentos</t>
  </si>
  <si>
    <t>Cobrança</t>
  </si>
  <si>
    <t>Conta</t>
  </si>
  <si>
    <t>Valor</t>
  </si>
  <si>
    <t>Predial</t>
  </si>
  <si>
    <t>TOTAL</t>
  </si>
  <si>
    <t>Saldo médio (Distribuição de resultado)</t>
  </si>
  <si>
    <t>Emissão (Distribuição de resultado)</t>
  </si>
  <si>
    <t>Parâmetros</t>
  </si>
  <si>
    <t>GANHOS AUXILIADORA PREDIAL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</si>
</sst>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9" fontId="0" fillId="0" borderId="0" xfId="0" applyNumberFormat="1"/>
    <xf numFmtId="43" fontId="0" fillId="0" borderId="0" xfId="1" applyFont="1"/>
    <xf numFmtId="43" fontId="0" fillId="0" borderId="0" xfId="0" applyNumberFormat="1"/>
    <xf numFmtId="10" fontId="0" fillId="0" borderId="0" xfId="2" applyNumberFormat="1" applyFont="1"/>
    <xf numFmtId="0" fontId="5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43" fontId="2" fillId="0" borderId="1" xfId="0" applyNumberFormat="1" applyFont="1" applyBorder="1"/>
    <xf numFmtId="43" fontId="0" fillId="0" borderId="1" xfId="1" applyFont="1" applyBorder="1"/>
    <xf numFmtId="43" fontId="0" fillId="0" borderId="0" xfId="1" applyFont="1" applyBorder="1"/>
    <xf numFmtId="0" fontId="2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0" fillId="0" borderId="3" xfId="0" applyBorder="1"/>
    <xf numFmtId="43" fontId="0" fillId="0" borderId="4" xfId="1" applyFont="1" applyBorder="1"/>
    <xf numFmtId="43" fontId="0" fillId="0" borderId="3" xfId="1" applyFont="1" applyBorder="1"/>
    <xf numFmtId="43" fontId="2" fillId="0" borderId="4" xfId="0" applyNumberFormat="1" applyFont="1" applyBorder="1"/>
    <xf numFmtId="0" fontId="4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4" xfId="0" applyBorder="1"/>
    <xf numFmtId="10" fontId="0" fillId="0" borderId="1" xfId="0" applyNumberFormat="1" applyBorder="1"/>
    <xf numFmtId="10" fontId="0" fillId="0" borderId="4" xfId="0" applyNumberFormat="1" applyBorder="1"/>
    <xf numFmtId="9" fontId="0" fillId="0" borderId="1" xfId="0" applyNumberFormat="1" applyBorder="1"/>
    <xf numFmtId="0" fontId="0" fillId="0" borderId="6" xfId="0" applyBorder="1"/>
    <xf numFmtId="0" fontId="4" fillId="0" borderId="0" xfId="0" applyFont="1" applyAlignment="1">
      <alignment horizontal="center" vertical="center"/>
    </xf>
    <xf numFmtId="43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3AC0-FF93-4D69-93D0-B1DE3E3C64A3}">
  <dimension ref="A1:G32"/>
  <sheetViews>
    <sheetView showGridLines="0" workbookViewId="0">
      <selection activeCell="H1" sqref="H1:T1048576"/>
    </sheetView>
  </sheetViews>
  <sheetFormatPr defaultRowHeight="15.6" x14ac:dyDescent="0.3"/>
  <cols>
    <col min="1" max="1" width="9.5546875" style="6" bestFit="1" customWidth="1"/>
    <col min="2" max="2" width="15" customWidth="1"/>
    <col min="3" max="3" width="13.109375" bestFit="1" customWidth="1"/>
    <col min="4" max="4" width="4.21875" customWidth="1"/>
    <col min="5" max="5" width="14.5546875" bestFit="1" customWidth="1"/>
    <col min="6" max="6" width="13.33203125" bestFit="1" customWidth="1"/>
    <col min="7" max="7" width="2.5546875" customWidth="1"/>
  </cols>
  <sheetData>
    <row r="1" spans="2:7" ht="18.600000000000001" thickBot="1" x14ac:dyDescent="0.4">
      <c r="B1" s="33" t="s">
        <v>31</v>
      </c>
      <c r="C1" s="34"/>
      <c r="D1" s="34"/>
      <c r="E1" s="34"/>
      <c r="F1" s="35"/>
    </row>
    <row r="3" spans="2:7" ht="18.600000000000001" thickBot="1" x14ac:dyDescent="0.4">
      <c r="B3" s="36" t="s">
        <v>0</v>
      </c>
      <c r="C3" s="36"/>
      <c r="D3" s="5"/>
      <c r="E3" s="36" t="s">
        <v>1</v>
      </c>
      <c r="F3" s="36"/>
    </row>
    <row r="4" spans="2:7" x14ac:dyDescent="0.3">
      <c r="B4" s="16" t="s">
        <v>16</v>
      </c>
      <c r="C4" s="17">
        <v>46</v>
      </c>
      <c r="E4" s="16" t="s">
        <v>16</v>
      </c>
      <c r="F4" s="17">
        <v>217</v>
      </c>
    </row>
    <row r="5" spans="2:7" x14ac:dyDescent="0.3">
      <c r="B5" s="16" t="s">
        <v>17</v>
      </c>
      <c r="C5" s="17">
        <v>1768</v>
      </c>
      <c r="E5" s="16" t="s">
        <v>17</v>
      </c>
      <c r="F5" s="17">
        <v>6445</v>
      </c>
    </row>
    <row r="6" spans="2:7" x14ac:dyDescent="0.3">
      <c r="B6" s="16" t="s">
        <v>11</v>
      </c>
      <c r="C6" s="18">
        <v>1</v>
      </c>
      <c r="E6" s="16" t="s">
        <v>11</v>
      </c>
      <c r="F6" s="18">
        <v>1</v>
      </c>
    </row>
    <row r="7" spans="2:7" x14ac:dyDescent="0.3">
      <c r="B7" s="16" t="s">
        <v>7</v>
      </c>
      <c r="C7" s="18">
        <f>23000000/3/(C5+F5)*C5</f>
        <v>1650391.6555054996</v>
      </c>
      <c r="E7" s="16" t="s">
        <v>7</v>
      </c>
      <c r="F7" s="18">
        <f>23000000/3/(C5+F5)*F5</f>
        <v>6016275.0111611672</v>
      </c>
      <c r="G7" s="3"/>
    </row>
    <row r="8" spans="2:7" x14ac:dyDescent="0.3">
      <c r="B8" s="16" t="s">
        <v>13</v>
      </c>
      <c r="C8" s="18">
        <f>24000000/3/(C5+F5)*C5</f>
        <v>1722147.8144405212</v>
      </c>
      <c r="E8" s="16" t="s">
        <v>13</v>
      </c>
      <c r="F8" s="18">
        <f>24000000/3/(C5+F5)*F5</f>
        <v>6277852.1855594795</v>
      </c>
    </row>
    <row r="9" spans="2:7" x14ac:dyDescent="0.3">
      <c r="B9" s="16" t="s">
        <v>14</v>
      </c>
      <c r="C9" s="17">
        <v>14</v>
      </c>
      <c r="E9" s="16" t="s">
        <v>14</v>
      </c>
      <c r="F9" s="17">
        <v>0</v>
      </c>
    </row>
    <row r="11" spans="2:7" x14ac:dyDescent="0.3">
      <c r="C11" s="3"/>
      <c r="F11" s="3"/>
    </row>
    <row r="12" spans="2:7" s="7" customFormat="1" ht="18" x14ac:dyDescent="0.35"/>
    <row r="13" spans="2:7" s="9" customFormat="1" ht="18" x14ac:dyDescent="0.35"/>
    <row r="31" ht="15.6" customHeight="1" x14ac:dyDescent="0.3"/>
    <row r="32" ht="15.6" customHeight="1" x14ac:dyDescent="0.3"/>
  </sheetData>
  <mergeCells count="3">
    <mergeCell ref="B1:F1"/>
    <mergeCell ref="B3:C3"/>
    <mergeCell ref="E3:F3"/>
  </mergeCells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5FF3-4315-44CC-8C69-042630317F1D}">
  <dimension ref="A1:N25"/>
  <sheetViews>
    <sheetView showGridLines="0" tabSelected="1" workbookViewId="0">
      <selection activeCell="F20" sqref="F20"/>
    </sheetView>
  </sheetViews>
  <sheetFormatPr defaultRowHeight="15.6" x14ac:dyDescent="0.3"/>
  <cols>
    <col min="1" max="1" width="9.5546875" style="6" bestFit="1" customWidth="1"/>
    <col min="2" max="2" width="15.6640625" bestFit="1" customWidth="1"/>
    <col min="3" max="3" width="32.6640625" bestFit="1" customWidth="1"/>
    <col min="4" max="4" width="11.33203125" bestFit="1" customWidth="1"/>
    <col min="5" max="5" width="6.109375" bestFit="1" customWidth="1"/>
    <col min="6" max="6" width="13.44140625" bestFit="1" customWidth="1"/>
    <col min="7" max="7" width="11.33203125" bestFit="1" customWidth="1"/>
    <col min="8" max="8" width="10.44140625" bestFit="1" customWidth="1"/>
    <col min="9" max="9" width="2.6640625" customWidth="1"/>
    <col min="10" max="10" width="11.88671875" bestFit="1" customWidth="1"/>
    <col min="11" max="11" width="10.44140625" bestFit="1" customWidth="1"/>
    <col min="12" max="12" width="2.6640625" customWidth="1"/>
    <col min="13" max="14" width="11.44140625" bestFit="1" customWidth="1"/>
  </cols>
  <sheetData>
    <row r="1" spans="2:14" ht="16.2" thickBot="1" x14ac:dyDescent="0.35"/>
    <row r="2" spans="2:14" ht="18.600000000000001" thickBot="1" x14ac:dyDescent="0.4">
      <c r="B2" s="33" t="s">
        <v>32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5"/>
    </row>
    <row r="5" spans="2:14" s="7" customFormat="1" ht="18.600000000000001" thickBot="1" x14ac:dyDescent="0.4">
      <c r="B5" s="6"/>
      <c r="G5" s="36" t="s">
        <v>2</v>
      </c>
      <c r="H5" s="36"/>
      <c r="J5" s="36" t="s">
        <v>3</v>
      </c>
      <c r="K5" s="36"/>
      <c r="M5" s="36" t="s">
        <v>4</v>
      </c>
      <c r="N5" s="36"/>
    </row>
    <row r="6" spans="2:14" s="9" customFormat="1" ht="18" x14ac:dyDescent="0.35">
      <c r="B6" s="8"/>
      <c r="D6" s="23" t="s">
        <v>0</v>
      </c>
      <c r="E6" s="24" t="s">
        <v>1</v>
      </c>
      <c r="G6" s="23" t="s">
        <v>0</v>
      </c>
      <c r="H6" s="24" t="s">
        <v>1</v>
      </c>
      <c r="J6" s="23" t="s">
        <v>0</v>
      </c>
      <c r="K6" s="24" t="s">
        <v>1</v>
      </c>
      <c r="M6" s="23" t="s">
        <v>0</v>
      </c>
      <c r="N6" s="24" t="s">
        <v>1</v>
      </c>
    </row>
    <row r="7" spans="2:14" x14ac:dyDescent="0.3">
      <c r="B7" s="6" t="s">
        <v>5</v>
      </c>
      <c r="E7" s="19"/>
      <c r="H7" s="19"/>
      <c r="K7" s="19"/>
      <c r="N7" s="19"/>
    </row>
    <row r="8" spans="2:14" x14ac:dyDescent="0.3">
      <c r="B8" s="6"/>
      <c r="C8" s="10" t="s">
        <v>6</v>
      </c>
      <c r="D8" s="13">
        <v>1.7</v>
      </c>
      <c r="E8" s="20">
        <v>1.7</v>
      </c>
      <c r="F8" s="10"/>
      <c r="G8" s="13">
        <f>(D8-Simulação!C6)*Simulação!C5</f>
        <v>1237.5999999999999</v>
      </c>
      <c r="H8" s="20">
        <f>(E8-Simulação!F6)*Simulação!F5</f>
        <v>4511.5</v>
      </c>
      <c r="I8" s="14"/>
      <c r="J8" s="13">
        <f>G8*3</f>
        <v>3712.7999999999997</v>
      </c>
      <c r="K8" s="20">
        <f>H8*3</f>
        <v>13534.5</v>
      </c>
      <c r="L8" s="14"/>
      <c r="M8" s="13">
        <f>J8*4</f>
        <v>14851.199999999999</v>
      </c>
      <c r="N8" s="20">
        <f>K8*4</f>
        <v>54138</v>
      </c>
    </row>
    <row r="9" spans="2:14" x14ac:dyDescent="0.3">
      <c r="B9" s="6"/>
      <c r="C9" s="11" t="s">
        <v>30</v>
      </c>
      <c r="D9" s="11"/>
      <c r="E9" s="29"/>
      <c r="F9" s="11"/>
      <c r="G9" s="13"/>
      <c r="H9" s="20">
        <f>Resultados!B4*Resultados!G4*Resultados!M4</f>
        <v>547.40564585025095</v>
      </c>
      <c r="I9" s="14"/>
      <c r="J9" s="13"/>
      <c r="K9" s="20">
        <f>H9*3</f>
        <v>1642.2169375507528</v>
      </c>
      <c r="L9" s="14"/>
      <c r="M9" s="13"/>
      <c r="N9" s="20">
        <f>K9*4</f>
        <v>6568.8677502030114</v>
      </c>
    </row>
    <row r="10" spans="2:14" x14ac:dyDescent="0.3">
      <c r="B10" s="6"/>
      <c r="E10" s="19"/>
      <c r="G10" s="2"/>
      <c r="H10" s="21"/>
      <c r="I10" s="14"/>
      <c r="J10" s="2"/>
      <c r="K10" s="21"/>
      <c r="L10" s="14"/>
      <c r="M10" s="2"/>
      <c r="N10" s="21"/>
    </row>
    <row r="11" spans="2:14" x14ac:dyDescent="0.3">
      <c r="B11" s="6" t="s">
        <v>18</v>
      </c>
      <c r="E11" s="19"/>
      <c r="G11" s="2"/>
      <c r="H11" s="21"/>
      <c r="I11" s="14"/>
      <c r="J11" s="2"/>
      <c r="K11" s="21"/>
      <c r="L11" s="14"/>
      <c r="M11" s="2"/>
      <c r="N11" s="21"/>
    </row>
    <row r="12" spans="2:14" x14ac:dyDescent="0.3">
      <c r="B12" s="6"/>
      <c r="C12" s="10" t="s">
        <v>29</v>
      </c>
      <c r="D12" s="26">
        <v>9.1300000000000006E-2</v>
      </c>
      <c r="E12" s="27">
        <v>9.1300000000000006E-2</v>
      </c>
      <c r="F12" s="28" t="s">
        <v>9</v>
      </c>
      <c r="G12" s="13">
        <v>0</v>
      </c>
      <c r="H12" s="20">
        <f>Resultados!B4*Resultados!G2*Resultados!M2</f>
        <v>3932.8443037999168</v>
      </c>
      <c r="I12" s="14"/>
      <c r="J12" s="13">
        <f>G12*3</f>
        <v>0</v>
      </c>
      <c r="K12" s="20">
        <f>H12*3</f>
        <v>11798.53291139975</v>
      </c>
      <c r="L12" s="14"/>
      <c r="M12" s="13">
        <f>J12*4</f>
        <v>0</v>
      </c>
      <c r="N12" s="20">
        <f>K12*4</f>
        <v>47194.131645599002</v>
      </c>
    </row>
    <row r="13" spans="2:14" x14ac:dyDescent="0.3">
      <c r="B13" s="6"/>
      <c r="E13" s="19"/>
      <c r="G13" s="2"/>
      <c r="H13" s="21"/>
      <c r="I13" s="14"/>
      <c r="J13" s="2"/>
      <c r="K13" s="21"/>
      <c r="L13" s="14"/>
      <c r="M13" s="2"/>
      <c r="N13" s="21"/>
    </row>
    <row r="14" spans="2:14" x14ac:dyDescent="0.3">
      <c r="B14" s="6" t="s">
        <v>8</v>
      </c>
      <c r="E14" s="19"/>
      <c r="G14" s="2"/>
      <c r="H14" s="21"/>
      <c r="I14" s="14"/>
      <c r="J14" s="2"/>
      <c r="K14" s="21"/>
      <c r="L14" s="14"/>
      <c r="M14" s="2"/>
      <c r="N14" s="21"/>
    </row>
    <row r="15" spans="2:14" x14ac:dyDescent="0.3">
      <c r="B15" s="6"/>
      <c r="C15" s="10" t="s">
        <v>29</v>
      </c>
      <c r="D15" s="26">
        <v>9.6000000000000002E-2</v>
      </c>
      <c r="E15" s="27">
        <v>9.6000000000000002E-2</v>
      </c>
      <c r="F15" s="10" t="s">
        <v>10</v>
      </c>
      <c r="G15" s="13">
        <v>0</v>
      </c>
      <c r="H15" s="20">
        <f>Resultados!B4*Resultados!G3*Resultados!M3</f>
        <v>741.08642385103144</v>
      </c>
      <c r="I15" s="14"/>
      <c r="J15" s="13">
        <f>G15*3</f>
        <v>0</v>
      </c>
      <c r="K15" s="20">
        <f>H15*3</f>
        <v>2223.2592715530945</v>
      </c>
      <c r="L15" s="14"/>
      <c r="M15" s="13">
        <f>J15*4</f>
        <v>0</v>
      </c>
      <c r="N15" s="20">
        <f>K15*4</f>
        <v>8893.0370862123782</v>
      </c>
    </row>
    <row r="16" spans="2:14" x14ac:dyDescent="0.3">
      <c r="B16" s="6"/>
      <c r="E16" s="19"/>
      <c r="G16" s="2"/>
      <c r="H16" s="21"/>
      <c r="I16" s="14"/>
      <c r="J16" s="2"/>
      <c r="K16" s="21"/>
      <c r="L16" s="14"/>
      <c r="M16" s="2"/>
      <c r="N16" s="21"/>
    </row>
    <row r="17" spans="2:14" x14ac:dyDescent="0.3">
      <c r="B17" s="6" t="s">
        <v>13</v>
      </c>
      <c r="E17" s="19"/>
      <c r="G17" s="2"/>
      <c r="H17" s="21"/>
      <c r="I17" s="14"/>
      <c r="J17" s="2"/>
      <c r="K17" s="21"/>
      <c r="L17" s="14"/>
      <c r="M17" s="2"/>
      <c r="N17" s="21"/>
    </row>
    <row r="18" spans="2:14" x14ac:dyDescent="0.3">
      <c r="B18" s="6"/>
      <c r="C18" s="10" t="s">
        <v>12</v>
      </c>
      <c r="D18" s="10">
        <v>3750</v>
      </c>
      <c r="E18" s="25"/>
      <c r="F18" s="10"/>
      <c r="G18" s="13">
        <v>0</v>
      </c>
      <c r="H18" s="20">
        <f>D18*0.2</f>
        <v>750</v>
      </c>
      <c r="I18" s="14"/>
      <c r="J18" s="13">
        <f>G18*3</f>
        <v>0</v>
      </c>
      <c r="K18" s="20">
        <f>H18*3</f>
        <v>2250</v>
      </c>
      <c r="L18" s="14"/>
      <c r="M18" s="13">
        <f>J18*4</f>
        <v>0</v>
      </c>
      <c r="N18" s="20">
        <f>K18*4</f>
        <v>9000</v>
      </c>
    </row>
    <row r="19" spans="2:14" x14ac:dyDescent="0.3">
      <c r="B19" s="6"/>
      <c r="E19" s="19"/>
      <c r="G19" s="2"/>
      <c r="H19" s="21"/>
      <c r="I19" s="14"/>
      <c r="J19" s="2"/>
      <c r="K19" s="21"/>
      <c r="L19" s="14"/>
      <c r="M19" s="2"/>
      <c r="N19" s="21"/>
    </row>
    <row r="20" spans="2:14" x14ac:dyDescent="0.3">
      <c r="B20" s="6" t="s">
        <v>14</v>
      </c>
      <c r="E20" s="19"/>
      <c r="G20" s="2"/>
      <c r="H20" s="21"/>
      <c r="I20" s="14"/>
      <c r="J20" s="2"/>
      <c r="K20" s="21"/>
      <c r="L20" s="14"/>
      <c r="M20" s="2"/>
      <c r="N20" s="21"/>
    </row>
    <row r="21" spans="2:14" x14ac:dyDescent="0.3">
      <c r="B21" s="6"/>
      <c r="C21" s="10" t="s">
        <v>15</v>
      </c>
      <c r="D21" s="10">
        <v>50</v>
      </c>
      <c r="E21" s="25">
        <v>0</v>
      </c>
      <c r="F21" s="10"/>
      <c r="G21" s="13">
        <f>(D21-Simulação!C9)*Simulação!C4</f>
        <v>1656</v>
      </c>
      <c r="H21" s="20">
        <f>(E21-Simulação!F9)*Simulação!F4</f>
        <v>0</v>
      </c>
      <c r="I21" s="14"/>
      <c r="J21" s="13">
        <f>G21*3</f>
        <v>4968</v>
      </c>
      <c r="K21" s="20">
        <f>H21*3</f>
        <v>0</v>
      </c>
      <c r="L21" s="14"/>
      <c r="M21" s="13">
        <f>J21*4</f>
        <v>19872</v>
      </c>
      <c r="N21" s="20">
        <f>K21*4</f>
        <v>0</v>
      </c>
    </row>
    <row r="22" spans="2:14" x14ac:dyDescent="0.3">
      <c r="B22" s="6"/>
      <c r="H22" s="19"/>
      <c r="K22" s="19"/>
      <c r="N22" s="19"/>
    </row>
    <row r="23" spans="2:14" x14ac:dyDescent="0.3">
      <c r="B23" s="6"/>
      <c r="H23" s="19"/>
      <c r="K23" s="19"/>
      <c r="N23" s="19"/>
    </row>
    <row r="24" spans="2:14" ht="15.6" customHeight="1" x14ac:dyDescent="0.3">
      <c r="B24" s="30" t="s">
        <v>28</v>
      </c>
      <c r="C24" s="30"/>
      <c r="G24" s="12">
        <f>SUM(G8:G21)</f>
        <v>2893.6</v>
      </c>
      <c r="H24" s="22">
        <f>SUM(H8:H21)</f>
        <v>10482.836373501199</v>
      </c>
      <c r="I24" s="15"/>
      <c r="J24" s="12">
        <f>SUM(J8:J21)</f>
        <v>8680.7999999999993</v>
      </c>
      <c r="K24" s="22">
        <f>SUM(K8:K21)</f>
        <v>31448.509120503597</v>
      </c>
      <c r="L24" s="15"/>
      <c r="M24" s="12">
        <f>SUM(M8:M21)</f>
        <v>34723.199999999997</v>
      </c>
      <c r="N24" s="22">
        <f>SUM(N8:N21)</f>
        <v>125794.03648201439</v>
      </c>
    </row>
    <row r="25" spans="2:14" ht="15.6" customHeight="1" x14ac:dyDescent="0.3">
      <c r="B25" s="30"/>
      <c r="C25" s="30"/>
      <c r="G25" s="31">
        <f>SUM(G24:H24)</f>
        <v>13376.436373501199</v>
      </c>
      <c r="H25" s="32"/>
      <c r="I25" s="15"/>
      <c r="J25" s="31">
        <f>SUM(J24:K24)</f>
        <v>40129.309120503596</v>
      </c>
      <c r="K25" s="31"/>
      <c r="L25" s="15"/>
      <c r="M25" s="31">
        <f>SUM(M24:N24)</f>
        <v>160517.23648201438</v>
      </c>
      <c r="N25" s="31"/>
    </row>
  </sheetData>
  <mergeCells count="8">
    <mergeCell ref="B24:C25"/>
    <mergeCell ref="G25:H25"/>
    <mergeCell ref="M25:N25"/>
    <mergeCell ref="J25:K25"/>
    <mergeCell ref="B2:N2"/>
    <mergeCell ref="G5:H5"/>
    <mergeCell ref="J5:K5"/>
    <mergeCell ref="M5:N5"/>
  </mergeCells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4CA8-1718-45BD-AFF1-674144ED5716}">
  <dimension ref="A1:M4"/>
  <sheetViews>
    <sheetView workbookViewId="0">
      <selection activeCell="L2" sqref="L2"/>
    </sheetView>
  </sheetViews>
  <sheetFormatPr defaultRowHeight="14.4" x14ac:dyDescent="0.3"/>
  <cols>
    <col min="2" max="2" width="13.109375" bestFit="1" customWidth="1"/>
    <col min="3" max="3" width="14.109375" bestFit="1" customWidth="1"/>
    <col min="6" max="6" width="13.5546875" bestFit="1" customWidth="1"/>
    <col min="10" max="10" width="13.5546875" bestFit="1" customWidth="1"/>
    <col min="11" max="11" width="15.109375" bestFit="1" customWidth="1"/>
    <col min="12" max="12" width="11.44140625" bestFit="1" customWidth="1"/>
  </cols>
  <sheetData>
    <row r="1" spans="1:13" x14ac:dyDescent="0.3">
      <c r="B1" t="s">
        <v>19</v>
      </c>
      <c r="C1" t="s">
        <v>20</v>
      </c>
      <c r="F1" t="s">
        <v>21</v>
      </c>
      <c r="G1" t="s">
        <v>22</v>
      </c>
      <c r="J1" t="s">
        <v>25</v>
      </c>
      <c r="K1" t="s">
        <v>26</v>
      </c>
      <c r="L1" t="s">
        <v>27</v>
      </c>
      <c r="M1" t="s">
        <v>22</v>
      </c>
    </row>
    <row r="2" spans="1:13" x14ac:dyDescent="0.3">
      <c r="A2">
        <v>2024</v>
      </c>
      <c r="B2" s="2">
        <v>2751739.53</v>
      </c>
      <c r="C2" s="2">
        <v>11370764</v>
      </c>
      <c r="F2" t="s">
        <v>18</v>
      </c>
      <c r="G2" s="1">
        <v>0.4</v>
      </c>
      <c r="J2" t="s">
        <v>18</v>
      </c>
      <c r="K2" s="2">
        <v>102559246.79082538</v>
      </c>
      <c r="L2" s="3">
        <f>Simulação!F7*Resultado!D12</f>
        <v>549285.9085190146</v>
      </c>
      <c r="M2" s="4">
        <f>L2/SUM(K2:L2)</f>
        <v>5.3272594822068222E-3</v>
      </c>
    </row>
    <row r="3" spans="1:13" x14ac:dyDescent="0.3">
      <c r="A3">
        <v>2025</v>
      </c>
      <c r="B3" s="2">
        <v>1326211.7000000114</v>
      </c>
      <c r="C3" s="2">
        <v>22876889</v>
      </c>
      <c r="F3" t="s">
        <v>23</v>
      </c>
      <c r="G3" s="1">
        <v>0.25</v>
      </c>
      <c r="J3" t="s">
        <v>8</v>
      </c>
      <c r="K3" s="2">
        <v>359016883.85464972</v>
      </c>
      <c r="L3" s="3">
        <f>Simulação!F7*Resultado!D15</f>
        <v>577562.40107147209</v>
      </c>
      <c r="M3" s="4">
        <f>L3/SUM(K3:L3)</f>
        <v>1.6061493915863919E-3</v>
      </c>
    </row>
    <row r="4" spans="1:13" x14ac:dyDescent="0.3">
      <c r="A4">
        <v>2026</v>
      </c>
      <c r="B4" s="2">
        <f>SUM(B2:B3)/SUM(C2:C3)*C4</f>
        <v>1845622.6493827235</v>
      </c>
      <c r="C4" s="2">
        <v>15500000</v>
      </c>
      <c r="F4" t="s">
        <v>24</v>
      </c>
      <c r="G4" s="1">
        <v>0.2</v>
      </c>
      <c r="J4" t="s">
        <v>24</v>
      </c>
      <c r="K4" s="2">
        <v>4339523.3200000012</v>
      </c>
      <c r="L4" s="2">
        <f>Simulação!F6*Simulação!F5</f>
        <v>6445</v>
      </c>
      <c r="M4" s="4">
        <f>L4/SUM(K4:L4)</f>
        <v>1.4829836587488053E-3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Simulação</vt:lpstr>
      <vt:lpstr>Resultado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Filipe Barbosa Ribeiro</dc:creator>
  <cp:lastModifiedBy>Matheus Filipe Barbosa Ribeiro</cp:lastModifiedBy>
  <dcterms:created xsi:type="dcterms:W3CDTF">2026-05-10T10:41:57Z</dcterms:created>
  <dcterms:modified xsi:type="dcterms:W3CDTF">2026-05-11T23:11:48Z</dcterms:modified>
</cp:coreProperties>
</file>